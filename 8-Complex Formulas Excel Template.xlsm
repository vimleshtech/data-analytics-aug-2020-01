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mlesh.Kumar\Documents\Training\Data Analytics\"/>
    </mc:Choice>
  </mc:AlternateContent>
  <xr:revisionPtr revIDLastSave="0" documentId="13_ncr:1_{F8FED142-D6EC-493E-AB73-19430B1EA477}" xr6:coauthVersionLast="45" xr6:coauthVersionMax="45" xr10:uidLastSave="{00000000-0000-0000-0000-000000000000}"/>
  <bookViews>
    <workbookView xWindow="-120" yWindow="-120" windowWidth="20730" windowHeight="11160" firstSheet="3" activeTab="6" xr2:uid="{00000000-000D-0000-FFFF-FFFF00000000}"/>
  </bookViews>
  <sheets>
    <sheet name="GoalSeek" sheetId="9" r:id="rId1"/>
    <sheet name="CHOOSE Function" sheetId="5" r:id="rId2"/>
    <sheet name="VLOOKUP With CHOOSE  SAME SHEET" sheetId="6" r:id="rId3"/>
    <sheet name="VLOOKUP CROSS SHEET" sheetId="10" r:id="rId4"/>
    <sheet name="MASTER DATA" sheetId="11" r:id="rId5"/>
    <sheet name="IF with AND &amp; OR" sheetId="7" r:id="rId6"/>
    <sheet name="Wildcard Characters" sheetId="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8" l="1"/>
  <c r="D4" i="8"/>
  <c r="D5" i="8"/>
  <c r="D6" i="8"/>
  <c r="D7" i="8"/>
  <c r="D2" i="8"/>
  <c r="D3" i="10"/>
  <c r="D4" i="10"/>
  <c r="D5" i="10"/>
  <c r="D6" i="10"/>
  <c r="D2" i="10"/>
  <c r="F27" i="6"/>
  <c r="F28" i="6"/>
  <c r="F29" i="6"/>
  <c r="F30" i="6"/>
  <c r="F26" i="6"/>
  <c r="E27" i="6"/>
  <c r="E28" i="6"/>
  <c r="E29" i="6"/>
  <c r="E30" i="6"/>
  <c r="E26" i="6"/>
  <c r="K18" i="6"/>
  <c r="K19" i="6"/>
  <c r="K20" i="6"/>
  <c r="K21" i="6"/>
  <c r="K17" i="6"/>
  <c r="D13" i="5"/>
  <c r="B15" i="5" s="1"/>
  <c r="K17" i="5"/>
  <c r="K18" i="5" s="1"/>
  <c r="D3" i="9"/>
  <c r="D4" i="9"/>
  <c r="D5" i="9"/>
  <c r="D2" i="9"/>
  <c r="B19" i="5" l="1"/>
  <c r="B20" i="5"/>
  <c r="B17" i="5"/>
  <c r="B22" i="5"/>
  <c r="B21" i="5"/>
  <c r="B16" i="5"/>
  <c r="B18" i="5"/>
  <c r="B14" i="5"/>
  <c r="B23" i="5"/>
  <c r="K16" i="5"/>
  <c r="D3" i="7" l="1"/>
  <c r="D4" i="7"/>
  <c r="D5" i="7"/>
  <c r="D6" i="7"/>
  <c r="D7" i="7"/>
  <c r="D8" i="7"/>
  <c r="D9" i="7"/>
  <c r="D2" i="7"/>
  <c r="E2" i="6"/>
</calcChain>
</file>

<file path=xl/sharedStrings.xml><?xml version="1.0" encoding="utf-8"?>
<sst xmlns="http://schemas.openxmlformats.org/spreadsheetml/2006/main" count="205" uniqueCount="115">
  <si>
    <t>Jan</t>
  </si>
  <si>
    <t>Feb</t>
  </si>
  <si>
    <t>Month</t>
  </si>
  <si>
    <t>Sales</t>
  </si>
  <si>
    <t>Mar</t>
  </si>
  <si>
    <t>Apr</t>
  </si>
  <si>
    <t>May</t>
  </si>
  <si>
    <t>Jun</t>
  </si>
  <si>
    <t>Jul</t>
  </si>
  <si>
    <t>Aug</t>
  </si>
  <si>
    <t>Customer ID</t>
  </si>
  <si>
    <t>Customer1</t>
  </si>
  <si>
    <t>Customer2</t>
  </si>
  <si>
    <t>Customer3</t>
  </si>
  <si>
    <t>Customer4</t>
  </si>
  <si>
    <t>Customer5</t>
  </si>
  <si>
    <t>Customer6</t>
  </si>
  <si>
    <t>Customer7</t>
  </si>
  <si>
    <t>Customer8</t>
  </si>
  <si>
    <t>Customer9</t>
  </si>
  <si>
    <t>Customer10</t>
  </si>
  <si>
    <t>Sep</t>
  </si>
  <si>
    <t>Oct</t>
  </si>
  <si>
    <t>Nov</t>
  </si>
  <si>
    <t>Dec</t>
  </si>
  <si>
    <t>Employee-8</t>
  </si>
  <si>
    <t>Employee-7</t>
  </si>
  <si>
    <t>Employee-6</t>
  </si>
  <si>
    <t>Employee-5</t>
  </si>
  <si>
    <t>Employee-4</t>
  </si>
  <si>
    <t>Employee-3</t>
  </si>
  <si>
    <t>Employee-2</t>
  </si>
  <si>
    <t>Employee-1</t>
  </si>
  <si>
    <t>Service</t>
  </si>
  <si>
    <t>Employee</t>
  </si>
  <si>
    <t>Title</t>
  </si>
  <si>
    <t>Admin</t>
  </si>
  <si>
    <t>Support</t>
  </si>
  <si>
    <t>Bonus</t>
  </si>
  <si>
    <t>Lookup Table</t>
  </si>
  <si>
    <t>Lookup Values</t>
  </si>
  <si>
    <t>VLOOKUp Result</t>
  </si>
  <si>
    <t>Infosys Ltd</t>
  </si>
  <si>
    <t>Infosys</t>
  </si>
  <si>
    <t>IBM Ltd</t>
  </si>
  <si>
    <t>IBM</t>
  </si>
  <si>
    <t>ICICI Ltd</t>
  </si>
  <si>
    <t>ICICI</t>
  </si>
  <si>
    <t>Wipro Ltd</t>
  </si>
  <si>
    <t>Wipro</t>
  </si>
  <si>
    <t>Flipkart.com</t>
  </si>
  <si>
    <t>Mintra</t>
  </si>
  <si>
    <t>House Keeping Store</t>
  </si>
  <si>
    <t>Store</t>
  </si>
  <si>
    <t>Kirani Store</t>
  </si>
  <si>
    <t>TOTAL_SALES</t>
  </si>
  <si>
    <t>PROFIT %</t>
  </si>
  <si>
    <t>TOTAL PROFIT</t>
  </si>
  <si>
    <t>SALES_YEAR</t>
  </si>
  <si>
    <t>Usecase of GoalSeek</t>
  </si>
  <si>
    <t>Calculate or generate the input value for given target value</t>
  </si>
  <si>
    <t>Choose</t>
  </si>
  <si>
    <t>Return the value of given index/position</t>
  </si>
  <si>
    <t>choose</t>
  </si>
  <si>
    <t>today</t>
  </si>
  <si>
    <t>day</t>
  </si>
  <si>
    <t>Mon</t>
  </si>
  <si>
    <t>Tue</t>
  </si>
  <si>
    <t>Wed</t>
  </si>
  <si>
    <t>Thu</t>
  </si>
  <si>
    <t>Fri</t>
  </si>
  <si>
    <t>Sat</t>
  </si>
  <si>
    <t>Sun</t>
  </si>
  <si>
    <t>User Defined</t>
  </si>
  <si>
    <t>System Defined</t>
  </si>
  <si>
    <t>Vlookup</t>
  </si>
  <si>
    <t>Hlookup</t>
  </si>
  <si>
    <t>Vertical lookup</t>
  </si>
  <si>
    <t>Horizental lookup</t>
  </si>
  <si>
    <t>Description</t>
  </si>
  <si>
    <t>V or H lookup find given key and return respective value from other table or sheet</t>
  </si>
  <si>
    <t>pid</t>
  </si>
  <si>
    <t>pname</t>
  </si>
  <si>
    <t>price</t>
  </si>
  <si>
    <t>sprice</t>
  </si>
  <si>
    <t>dove</t>
  </si>
  <si>
    <t>iphone</t>
  </si>
  <si>
    <t>sony tv</t>
  </si>
  <si>
    <t>samsung tv</t>
  </si>
  <si>
    <t>samsung phone</t>
  </si>
  <si>
    <t>OID</t>
  </si>
  <si>
    <t>Customer</t>
  </si>
  <si>
    <t>Product</t>
  </si>
  <si>
    <t>Nitin</t>
  </si>
  <si>
    <t>Nitisha</t>
  </si>
  <si>
    <t>Kshitiz</t>
  </si>
  <si>
    <t>Rahul</t>
  </si>
  <si>
    <t>Raman</t>
  </si>
  <si>
    <t>Sales Amt?</t>
  </si>
  <si>
    <t>vlookup(lookup_value,table_array,return col index, exact match / approximate match)</t>
  </si>
  <si>
    <t>lookup_value</t>
  </si>
  <si>
    <t>what/which value we want to find</t>
  </si>
  <si>
    <t>table_array</t>
  </si>
  <si>
    <t>where given value should be found</t>
  </si>
  <si>
    <t>col index</t>
  </si>
  <si>
    <t>which column value should come in return</t>
  </si>
  <si>
    <t>exact match/approximate match</t>
  </si>
  <si>
    <t>1- true (approximate match) , 0-false (exact match)</t>
  </si>
  <si>
    <t>Master data</t>
  </si>
  <si>
    <t>vlookup</t>
  </si>
  <si>
    <t>approximate match</t>
  </si>
  <si>
    <t>SPRICE</t>
  </si>
  <si>
    <t>EXACT MATCH</t>
  </si>
  <si>
    <t>"*"</t>
  </si>
  <si>
    <t>* - ANY CHAR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</si>
</sst>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7" x14ac:knownFonts="1">
    <font>
      <sz val="11"/>
      <color theme="1"/>
      <name val="Calibri"/>
      <family val="2"/>
      <charset val="16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charset val="162"/>
      <scheme val="minor"/>
    </font>
    <font>
      <b/>
      <sz val="12"/>
      <color theme="0"/>
      <name val="Calibri"/>
      <family val="2"/>
    </font>
    <font>
      <sz val="12"/>
      <color theme="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</cellStyleXfs>
  <cellXfs count="19">
    <xf numFmtId="0" fontId="0" fillId="0" borderId="0" xfId="0"/>
    <xf numFmtId="164" fontId="1" fillId="0" borderId="1" xfId="1" applyFont="1" applyBorder="1"/>
    <xf numFmtId="0" fontId="3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4" fillId="0" borderId="1" xfId="1" applyNumberFormat="1" applyFont="1" applyBorder="1" applyAlignment="1">
      <alignment horizontal="center" vertical="center"/>
    </xf>
    <xf numFmtId="37" fontId="1" fillId="0" borderId="1" xfId="1" applyNumberFormat="1" applyFont="1" applyBorder="1" applyAlignment="1">
      <alignment horizontal="center" vertical="center"/>
    </xf>
    <xf numFmtId="37" fontId="1" fillId="3" borderId="1" xfId="1" applyNumberFormat="1" applyFont="1" applyFill="1" applyBorder="1" applyAlignment="1">
      <alignment horizontal="center" vertical="center"/>
    </xf>
    <xf numFmtId="0" fontId="0" fillId="0" borderId="1" xfId="0" applyBorder="1"/>
    <xf numFmtId="0" fontId="5" fillId="7" borderId="0" xfId="0" applyFont="1" applyFill="1"/>
    <xf numFmtId="9" fontId="0" fillId="0" borderId="1" xfId="0" applyNumberFormat="1" applyBorder="1"/>
    <xf numFmtId="14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6" borderId="0" xfId="3" applyAlignment="1">
      <alignment horizontal="center" vertical="center"/>
    </xf>
    <xf numFmtId="0" fontId="6" fillId="5" borderId="0" xfId="2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</cellXfs>
  <cellStyles count="4">
    <cellStyle name="Accent1" xfId="2" builtinId="29"/>
    <cellStyle name="Accent2" xfId="3" builtinId="33"/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7C766-61A4-4FDB-9A97-A849AC394FE0}">
  <dimension ref="A1:I8"/>
  <sheetViews>
    <sheetView workbookViewId="0">
      <selection activeCell="H3" sqref="H3"/>
    </sheetView>
  </sheetViews>
  <sheetFormatPr defaultRowHeight="15" x14ac:dyDescent="0.25"/>
  <cols>
    <col min="1" max="1" width="11.5703125" bestFit="1" customWidth="1"/>
    <col min="2" max="2" width="12.7109375" bestFit="1" customWidth="1"/>
    <col min="3" max="3" width="9.28515625" bestFit="1" customWidth="1"/>
    <col min="4" max="4" width="13.42578125" bestFit="1" customWidth="1"/>
    <col min="8" max="8" width="19.42578125" bestFit="1" customWidth="1"/>
    <col min="9" max="9" width="54.5703125" bestFit="1" customWidth="1"/>
  </cols>
  <sheetData>
    <row r="1" spans="1:9" x14ac:dyDescent="0.25">
      <c r="A1" s="10" t="s">
        <v>58</v>
      </c>
      <c r="B1" s="10" t="s">
        <v>55</v>
      </c>
      <c r="C1" s="10" t="s">
        <v>56</v>
      </c>
      <c r="D1" s="10" t="s">
        <v>57</v>
      </c>
    </row>
    <row r="2" spans="1:9" x14ac:dyDescent="0.25">
      <c r="A2" s="10">
        <v>2017</v>
      </c>
      <c r="B2" s="10">
        <v>5600000</v>
      </c>
      <c r="C2" s="12">
        <v>0.19</v>
      </c>
      <c r="D2" s="10">
        <f>B2*C2</f>
        <v>1064000</v>
      </c>
    </row>
    <row r="3" spans="1:9" x14ac:dyDescent="0.25">
      <c r="A3" s="10">
        <v>2018</v>
      </c>
      <c r="B3" s="10">
        <v>4700000</v>
      </c>
      <c r="C3" s="12">
        <v>0.19</v>
      </c>
      <c r="D3" s="10">
        <f t="shared" ref="D3:D5" si="0">B3*C3</f>
        <v>893000</v>
      </c>
      <c r="H3" s="11" t="s">
        <v>59</v>
      </c>
    </row>
    <row r="4" spans="1:9" x14ac:dyDescent="0.25">
      <c r="A4" s="10">
        <v>2019</v>
      </c>
      <c r="B4" s="10">
        <v>8920100</v>
      </c>
      <c r="C4" s="12">
        <v>0.19</v>
      </c>
      <c r="D4" s="10">
        <f t="shared" si="0"/>
        <v>1694819</v>
      </c>
      <c r="I4" t="s">
        <v>60</v>
      </c>
    </row>
    <row r="5" spans="1:9" x14ac:dyDescent="0.25">
      <c r="A5" s="10">
        <v>2020</v>
      </c>
      <c r="B5" s="10">
        <v>31579000</v>
      </c>
      <c r="C5" s="12">
        <v>0.19</v>
      </c>
      <c r="D5" s="10">
        <f t="shared" si="0"/>
        <v>6000010</v>
      </c>
    </row>
    <row r="6" spans="1:9" x14ac:dyDescent="0.25">
      <c r="A6" s="10"/>
      <c r="B6" s="10"/>
      <c r="C6" s="10"/>
      <c r="D6" s="10"/>
    </row>
    <row r="7" spans="1:9" x14ac:dyDescent="0.25">
      <c r="A7" s="10"/>
      <c r="B7" s="10"/>
      <c r="C7" s="10"/>
      <c r="D7" s="10"/>
    </row>
    <row r="8" spans="1:9" x14ac:dyDescent="0.25">
      <c r="A8" s="10"/>
      <c r="B8" s="10"/>
      <c r="C8" s="10"/>
      <c r="D8" s="10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4EFF-AFB6-46C9-A4D7-94A1BC9F4936}">
  <dimension ref="A1:R24"/>
  <sheetViews>
    <sheetView showGridLines="0" topLeftCell="A6" zoomScale="115" zoomScaleNormal="115" workbookViewId="0">
      <selection activeCell="D14" sqref="D14"/>
    </sheetView>
  </sheetViews>
  <sheetFormatPr defaultRowHeight="15.75" x14ac:dyDescent="0.25"/>
  <cols>
    <col min="1" max="1" width="14" style="3" customWidth="1"/>
    <col min="2" max="2" width="8.5703125" style="3" customWidth="1"/>
    <col min="3" max="3" width="7.28515625" style="3" customWidth="1"/>
    <col min="4" max="4" width="6.85546875" style="3" customWidth="1"/>
    <col min="5" max="5" width="7" style="3" customWidth="1"/>
    <col min="6" max="7" width="6.7109375" style="3" customWidth="1"/>
    <col min="8" max="8" width="7.140625" style="3" customWidth="1"/>
    <col min="9" max="9" width="7.28515625" style="3" customWidth="1"/>
    <col min="10" max="10" width="6.7109375" style="3" customWidth="1"/>
    <col min="11" max="11" width="11.5703125" style="3" bestFit="1" customWidth="1"/>
    <col min="12" max="12" width="7.140625" style="3" customWidth="1"/>
    <col min="13" max="13" width="7" style="3" customWidth="1"/>
    <col min="14" max="16384" width="9.140625" style="3"/>
  </cols>
  <sheetData>
    <row r="1" spans="1:18" x14ac:dyDescent="0.25">
      <c r="A1" s="2" t="s">
        <v>10</v>
      </c>
      <c r="B1" s="2" t="s">
        <v>0</v>
      </c>
      <c r="C1" s="2" t="s">
        <v>1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21</v>
      </c>
      <c r="K1" s="2" t="s">
        <v>22</v>
      </c>
      <c r="L1" s="2" t="s">
        <v>23</v>
      </c>
      <c r="M1" s="2" t="s">
        <v>24</v>
      </c>
    </row>
    <row r="2" spans="1:18" x14ac:dyDescent="0.25">
      <c r="A2" s="4" t="s">
        <v>11</v>
      </c>
      <c r="B2" s="5">
        <v>5.0494000000000003</v>
      </c>
      <c r="C2" s="5">
        <v>5.9018600000000001</v>
      </c>
      <c r="D2" s="5">
        <v>4.5734899999999996</v>
      </c>
      <c r="E2" s="5">
        <v>6.6195399999999998</v>
      </c>
      <c r="F2" s="5">
        <v>5.0642699999999996</v>
      </c>
      <c r="G2" s="5">
        <v>6.6479900000000001</v>
      </c>
      <c r="H2" s="5">
        <v>6.2941599999999998</v>
      </c>
      <c r="I2" s="5">
        <v>6.1677200000000001</v>
      </c>
      <c r="J2" s="5">
        <v>6.0719399999999997</v>
      </c>
      <c r="K2" s="5">
        <v>5.6304499999999997</v>
      </c>
      <c r="L2" s="5">
        <v>6.3483299999999998</v>
      </c>
      <c r="M2" s="5">
        <v>5.0332800000000004</v>
      </c>
    </row>
    <row r="3" spans="1:18" x14ac:dyDescent="0.25">
      <c r="A3" s="4" t="s">
        <v>12</v>
      </c>
      <c r="B3" s="5">
        <v>3.0616300000000001</v>
      </c>
      <c r="C3" s="5">
        <v>1.92422</v>
      </c>
      <c r="D3" s="5">
        <v>3.6606000000000001</v>
      </c>
      <c r="E3" s="5">
        <v>4.1571699999999998</v>
      </c>
      <c r="F3" s="5">
        <v>2.0238200000000002</v>
      </c>
      <c r="G3" s="5">
        <v>4.2422000000000004</v>
      </c>
      <c r="H3" s="5">
        <v>2.8966599999999998</v>
      </c>
      <c r="I3" s="5">
        <v>3.7505199999999999</v>
      </c>
      <c r="J3" s="5">
        <v>4.6383599999999996</v>
      </c>
      <c r="K3" s="5">
        <v>4.3239700000000001</v>
      </c>
      <c r="L3" s="5">
        <v>4.0095499999999999</v>
      </c>
      <c r="M3" s="5">
        <v>2.2361900000000001</v>
      </c>
    </row>
    <row r="4" spans="1:18" x14ac:dyDescent="0.25">
      <c r="A4" s="4" t="s">
        <v>13</v>
      </c>
      <c r="B4" s="5">
        <v>2.9266999999999999</v>
      </c>
      <c r="C4" s="5">
        <v>3.9310900000000002</v>
      </c>
      <c r="D4" s="5">
        <v>2.6940599999999999</v>
      </c>
      <c r="E4" s="5">
        <v>2.9934699999999999</v>
      </c>
      <c r="F4" s="5">
        <v>3.51701</v>
      </c>
      <c r="G4" s="5">
        <v>3.7799200000000002</v>
      </c>
      <c r="H4" s="5">
        <v>3.7817099999999999</v>
      </c>
      <c r="I4" s="5">
        <v>2.8524799999999999</v>
      </c>
      <c r="J4" s="5">
        <v>3.6303200000000002</v>
      </c>
      <c r="K4" s="5">
        <v>2.8814000000000002</v>
      </c>
      <c r="L4" s="5">
        <v>3.9423699999999999</v>
      </c>
      <c r="M4" s="5">
        <v>3.0604800000000001</v>
      </c>
    </row>
    <row r="5" spans="1:18" x14ac:dyDescent="0.25">
      <c r="A5" s="4" t="s">
        <v>14</v>
      </c>
      <c r="B5" s="5">
        <v>2.0762700000000001</v>
      </c>
      <c r="C5" s="5">
        <v>2.3046899999999999</v>
      </c>
      <c r="D5" s="5">
        <v>1.9098200000000001</v>
      </c>
      <c r="E5" s="5">
        <v>2.0820500000000002</v>
      </c>
      <c r="F5" s="5">
        <v>2.66099</v>
      </c>
      <c r="G5" s="5">
        <v>2.0730499999999998</v>
      </c>
      <c r="H5" s="5">
        <v>2.6749299999999998</v>
      </c>
      <c r="I5" s="5">
        <v>2.4517899999999999</v>
      </c>
      <c r="J5" s="5">
        <v>2.5439099999999999</v>
      </c>
      <c r="K5" s="5">
        <v>2.4925199999999998</v>
      </c>
      <c r="L5" s="5">
        <v>2.70452</v>
      </c>
      <c r="M5" s="5">
        <v>2.1698200000000001</v>
      </c>
    </row>
    <row r="6" spans="1:18" x14ac:dyDescent="0.25">
      <c r="A6" s="4" t="s">
        <v>15</v>
      </c>
      <c r="B6" s="5">
        <v>1.5730299999999999</v>
      </c>
      <c r="C6" s="5">
        <v>1.8494999999999999</v>
      </c>
      <c r="D6" s="5">
        <v>1.92035</v>
      </c>
      <c r="E6" s="5">
        <v>1.57829</v>
      </c>
      <c r="F6" s="5">
        <v>1.5160100000000001</v>
      </c>
      <c r="G6" s="5">
        <v>2.14195</v>
      </c>
      <c r="H6" s="5">
        <v>2.1386599999999998</v>
      </c>
      <c r="I6" s="5">
        <v>1.65374</v>
      </c>
      <c r="J6" s="5">
        <v>1.97305</v>
      </c>
      <c r="K6" s="5">
        <v>2.12202</v>
      </c>
      <c r="L6" s="5">
        <v>1.96729</v>
      </c>
      <c r="M6" s="5">
        <v>1.46143</v>
      </c>
    </row>
    <row r="7" spans="1:18" x14ac:dyDescent="0.25">
      <c r="A7" s="4" t="s">
        <v>16</v>
      </c>
      <c r="B7" s="5">
        <v>1.3212900000000001</v>
      </c>
      <c r="C7" s="5">
        <v>1.18946</v>
      </c>
      <c r="D7" s="5">
        <v>0.95052999999999999</v>
      </c>
      <c r="E7" s="5">
        <v>1.37493</v>
      </c>
      <c r="F7" s="5">
        <v>0.91141000000000005</v>
      </c>
      <c r="G7" s="5">
        <v>1.44225</v>
      </c>
      <c r="H7" s="5">
        <v>1.0096000000000001</v>
      </c>
      <c r="I7" s="5">
        <v>1.4053100000000001</v>
      </c>
      <c r="J7" s="5">
        <v>1.3680600000000001</v>
      </c>
      <c r="K7" s="5">
        <v>1.32698</v>
      </c>
      <c r="L7" s="5">
        <v>1.2628299999999999</v>
      </c>
      <c r="M7" s="5">
        <v>1.3950800000000001</v>
      </c>
    </row>
    <row r="8" spans="1:18" x14ac:dyDescent="0.25">
      <c r="A8" s="4" t="s">
        <v>17</v>
      </c>
      <c r="B8" s="5">
        <v>1.0004599999999999</v>
      </c>
      <c r="C8" s="5">
        <v>0.94921999999999995</v>
      </c>
      <c r="D8" s="5">
        <v>1.0868100000000001</v>
      </c>
      <c r="E8" s="5">
        <v>1.05925</v>
      </c>
      <c r="F8" s="5">
        <v>0.7228</v>
      </c>
      <c r="G8" s="5">
        <v>1.19855</v>
      </c>
      <c r="H8" s="5">
        <v>0.74841000000000002</v>
      </c>
      <c r="I8" s="5">
        <v>1.0911999999999999</v>
      </c>
      <c r="J8" s="5">
        <v>1.0634399999999999</v>
      </c>
      <c r="K8" s="5">
        <v>1.12622</v>
      </c>
      <c r="L8" s="5">
        <v>0.70467000000000002</v>
      </c>
      <c r="M8" s="5">
        <v>0.94816</v>
      </c>
    </row>
    <row r="9" spans="1:18" x14ac:dyDescent="0.25">
      <c r="A9" s="4" t="s">
        <v>18</v>
      </c>
      <c r="B9" s="5">
        <v>0.90944000000000003</v>
      </c>
      <c r="C9" s="5">
        <v>0.62505999999999995</v>
      </c>
      <c r="D9" s="5">
        <v>0.79620000000000002</v>
      </c>
      <c r="E9" s="5">
        <v>0.77863000000000004</v>
      </c>
      <c r="F9" s="5">
        <v>0.59004999999999996</v>
      </c>
      <c r="G9" s="5">
        <v>0.75088999999999995</v>
      </c>
      <c r="H9" s="5">
        <v>0.74809000000000003</v>
      </c>
      <c r="I9" s="5">
        <v>0.87963000000000002</v>
      </c>
      <c r="J9" s="5">
        <v>0.96391000000000004</v>
      </c>
      <c r="K9" s="5">
        <v>0.97014999999999996</v>
      </c>
      <c r="L9" s="5">
        <v>0.52227000000000001</v>
      </c>
      <c r="M9" s="5">
        <v>0.77220999999999995</v>
      </c>
    </row>
    <row r="10" spans="1:18" x14ac:dyDescent="0.25">
      <c r="A10" s="4" t="s">
        <v>19</v>
      </c>
      <c r="B10" s="5">
        <v>0.45395000000000002</v>
      </c>
      <c r="C10" s="5">
        <v>0.55108999999999997</v>
      </c>
      <c r="D10" s="5">
        <v>0.44452000000000003</v>
      </c>
      <c r="E10" s="5">
        <v>0.43851000000000001</v>
      </c>
      <c r="F10" s="5">
        <v>0.54215000000000002</v>
      </c>
      <c r="G10" s="5">
        <v>0.38029000000000002</v>
      </c>
      <c r="H10" s="5">
        <v>0.58184000000000002</v>
      </c>
      <c r="I10" s="5">
        <v>0.39684000000000003</v>
      </c>
      <c r="J10" s="5">
        <v>0.42115999999999998</v>
      </c>
      <c r="K10" s="5">
        <v>0.51722999999999997</v>
      </c>
      <c r="L10" s="5">
        <v>0.47782999999999998</v>
      </c>
      <c r="M10" s="5">
        <v>0.46967999999999999</v>
      </c>
    </row>
    <row r="11" spans="1:18" x14ac:dyDescent="0.25">
      <c r="A11" s="4" t="s">
        <v>20</v>
      </c>
      <c r="B11" s="5">
        <v>0.37341999999999997</v>
      </c>
      <c r="C11" s="5">
        <v>0.32851999999999998</v>
      </c>
      <c r="D11" s="5">
        <v>0.31583</v>
      </c>
      <c r="E11" s="5">
        <v>0.32277</v>
      </c>
      <c r="F11" s="5">
        <v>0.34107999999999999</v>
      </c>
      <c r="G11" s="5">
        <v>0.34405000000000002</v>
      </c>
      <c r="H11" s="5">
        <v>0.32166</v>
      </c>
      <c r="I11" s="5">
        <v>0.41519</v>
      </c>
      <c r="J11" s="5">
        <v>0.47361999999999999</v>
      </c>
      <c r="K11" s="5">
        <v>0.49634</v>
      </c>
      <c r="L11" s="5">
        <v>0.48554999999999998</v>
      </c>
      <c r="M11" s="5">
        <v>0.48487000000000002</v>
      </c>
    </row>
    <row r="12" spans="1:18" x14ac:dyDescent="0.25">
      <c r="D12" s="3" t="s">
        <v>75</v>
      </c>
    </row>
    <row r="13" spans="1:18" x14ac:dyDescent="0.25">
      <c r="A13" s="2" t="s">
        <v>10</v>
      </c>
      <c r="B13" s="2" t="s">
        <v>23</v>
      </c>
      <c r="D13" s="3">
        <f>VLOOKUP(B13,$G$13:$H$24,2,0)</f>
        <v>11</v>
      </c>
      <c r="G13" s="4" t="s">
        <v>0</v>
      </c>
      <c r="H13" s="4">
        <v>1</v>
      </c>
      <c r="L13" s="11" t="s">
        <v>61</v>
      </c>
    </row>
    <row r="14" spans="1:18" x14ac:dyDescent="0.2">
      <c r="A14" s="4" t="s">
        <v>11</v>
      </c>
      <c r="B14" s="1">
        <f>CHOOSE($D$13,B2,C2,D2,E2,F2,G2,H2,I2,J2,K2,L2,M2)</f>
        <v>6.3483299999999998</v>
      </c>
      <c r="G14" s="4" t="s">
        <v>1</v>
      </c>
      <c r="H14" s="4">
        <v>2</v>
      </c>
      <c r="M14" s="3" t="s">
        <v>62</v>
      </c>
    </row>
    <row r="15" spans="1:18" x14ac:dyDescent="0.25">
      <c r="A15" s="4" t="s">
        <v>12</v>
      </c>
      <c r="B15" s="1">
        <f t="shared" ref="B15:B23" si="0">CHOOSE($D$13,B3,C3,D3,E3,F3,G3,H3,I3,J3,K3,L3,M3)</f>
        <v>4.0095499999999999</v>
      </c>
      <c r="G15" s="4" t="s">
        <v>4</v>
      </c>
      <c r="H15" s="4">
        <v>3</v>
      </c>
      <c r="N15" s="11" t="s">
        <v>73</v>
      </c>
      <c r="Q15" s="11" t="s">
        <v>74</v>
      </c>
    </row>
    <row r="16" spans="1:18" x14ac:dyDescent="0.2">
      <c r="A16" s="4" t="s">
        <v>13</v>
      </c>
      <c r="B16" s="1">
        <f t="shared" si="0"/>
        <v>3.9423699999999999</v>
      </c>
      <c r="G16" s="4" t="s">
        <v>5</v>
      </c>
      <c r="H16" s="4">
        <v>4</v>
      </c>
      <c r="J16" s="3" t="s">
        <v>63</v>
      </c>
      <c r="K16" s="3" t="str">
        <f ca="1">CHOOSE(K18,"Mon","Tue","Wed","Thu","Fri","Sat","Sun")</f>
        <v>Wed</v>
      </c>
      <c r="N16" s="3">
        <v>1</v>
      </c>
      <c r="O16" s="3" t="s">
        <v>66</v>
      </c>
      <c r="Q16" s="3">
        <v>1</v>
      </c>
      <c r="R16" s="3" t="s">
        <v>72</v>
      </c>
    </row>
    <row r="17" spans="1:18" x14ac:dyDescent="0.2">
      <c r="A17" s="4" t="s">
        <v>14</v>
      </c>
      <c r="B17" s="1">
        <f t="shared" si="0"/>
        <v>2.70452</v>
      </c>
      <c r="G17" s="4" t="s">
        <v>6</v>
      </c>
      <c r="H17" s="4">
        <v>5</v>
      </c>
      <c r="J17" s="3" t="s">
        <v>64</v>
      </c>
      <c r="K17" s="13">
        <f ca="1">TODAY()+100</f>
        <v>44174</v>
      </c>
      <c r="N17" s="3">
        <v>2</v>
      </c>
      <c r="O17" s="3" t="s">
        <v>67</v>
      </c>
      <c r="Q17" s="3">
        <v>2</v>
      </c>
      <c r="R17" s="3" t="s">
        <v>66</v>
      </c>
    </row>
    <row r="18" spans="1:18" x14ac:dyDescent="0.2">
      <c r="A18" s="4" t="s">
        <v>15</v>
      </c>
      <c r="B18" s="1">
        <f t="shared" si="0"/>
        <v>1.96729</v>
      </c>
      <c r="G18" s="4" t="s">
        <v>7</v>
      </c>
      <c r="H18" s="4">
        <v>6</v>
      </c>
      <c r="J18" s="3" t="s">
        <v>65</v>
      </c>
      <c r="K18" s="14">
        <f ca="1">WEEKDAY(K17)-1</f>
        <v>3</v>
      </c>
      <c r="N18" s="3">
        <v>3</v>
      </c>
      <c r="O18" s="3" t="s">
        <v>68</v>
      </c>
      <c r="Q18" s="3">
        <v>3</v>
      </c>
      <c r="R18" s="3" t="s">
        <v>67</v>
      </c>
    </row>
    <row r="19" spans="1:18" x14ac:dyDescent="0.2">
      <c r="A19" s="4" t="s">
        <v>16</v>
      </c>
      <c r="B19" s="1">
        <f t="shared" si="0"/>
        <v>1.2628299999999999</v>
      </c>
      <c r="G19" s="4" t="s">
        <v>8</v>
      </c>
      <c r="H19" s="4">
        <v>7</v>
      </c>
      <c r="N19" s="3">
        <v>4</v>
      </c>
      <c r="O19" s="3" t="s">
        <v>69</v>
      </c>
      <c r="Q19" s="3">
        <v>4</v>
      </c>
      <c r="R19" s="3" t="s">
        <v>68</v>
      </c>
    </row>
    <row r="20" spans="1:18" x14ac:dyDescent="0.2">
      <c r="A20" s="4" t="s">
        <v>17</v>
      </c>
      <c r="B20" s="1">
        <f t="shared" si="0"/>
        <v>0.70467000000000002</v>
      </c>
      <c r="G20" s="4" t="s">
        <v>9</v>
      </c>
      <c r="H20" s="4">
        <v>8</v>
      </c>
      <c r="N20" s="3">
        <v>5</v>
      </c>
      <c r="O20" s="3" t="s">
        <v>70</v>
      </c>
      <c r="Q20" s="3">
        <v>5</v>
      </c>
      <c r="R20" s="3" t="s">
        <v>69</v>
      </c>
    </row>
    <row r="21" spans="1:18" x14ac:dyDescent="0.2">
      <c r="A21" s="4" t="s">
        <v>18</v>
      </c>
      <c r="B21" s="1">
        <f t="shared" si="0"/>
        <v>0.52227000000000001</v>
      </c>
      <c r="G21" s="4" t="s">
        <v>21</v>
      </c>
      <c r="H21" s="4">
        <v>9</v>
      </c>
      <c r="N21" s="3">
        <v>6</v>
      </c>
      <c r="O21" s="3" t="s">
        <v>71</v>
      </c>
      <c r="Q21" s="3">
        <v>6</v>
      </c>
      <c r="R21" s="3" t="s">
        <v>70</v>
      </c>
    </row>
    <row r="22" spans="1:18" x14ac:dyDescent="0.2">
      <c r="A22" s="4" t="s">
        <v>19</v>
      </c>
      <c r="B22" s="1">
        <f t="shared" si="0"/>
        <v>0.47782999999999998</v>
      </c>
      <c r="G22" s="4" t="s">
        <v>22</v>
      </c>
      <c r="H22" s="4">
        <v>10</v>
      </c>
      <c r="N22" s="3">
        <v>7</v>
      </c>
      <c r="O22" s="3" t="s">
        <v>72</v>
      </c>
      <c r="Q22" s="3">
        <v>7</v>
      </c>
      <c r="R22" s="3" t="s">
        <v>71</v>
      </c>
    </row>
    <row r="23" spans="1:18" x14ac:dyDescent="0.2">
      <c r="A23" s="4" t="s">
        <v>20</v>
      </c>
      <c r="B23" s="1">
        <f t="shared" si="0"/>
        <v>0.48554999999999998</v>
      </c>
      <c r="G23" s="4" t="s">
        <v>23</v>
      </c>
      <c r="H23" s="4">
        <v>11</v>
      </c>
    </row>
    <row r="24" spans="1:18" x14ac:dyDescent="0.25">
      <c r="G24" s="4" t="s">
        <v>24</v>
      </c>
      <c r="H24" s="4">
        <v>12</v>
      </c>
    </row>
  </sheetData>
  <dataValidations count="1">
    <dataValidation type="list" allowBlank="1" showInputMessage="1" showErrorMessage="1" sqref="B13" xr:uid="{0052B19F-AC8A-421B-A849-50791A84E57D}">
      <formula1>$B$1:$M$1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71A5-D858-48A2-BB8C-7BA9FF999960}">
  <dimension ref="A1:K30"/>
  <sheetViews>
    <sheetView showGridLines="0" topLeftCell="A14" zoomScale="115" zoomScaleNormal="115" workbookViewId="0">
      <selection activeCell="H16" sqref="H16:J21"/>
    </sheetView>
  </sheetViews>
  <sheetFormatPr defaultRowHeight="15.75" x14ac:dyDescent="0.25"/>
  <cols>
    <col min="1" max="1" width="9.140625" style="3"/>
    <col min="2" max="2" width="15.7109375" style="3" bestFit="1" customWidth="1"/>
    <col min="3" max="3" width="7.85546875" style="3" bestFit="1" customWidth="1"/>
    <col min="4" max="9" width="9.140625" style="3"/>
    <col min="10" max="10" width="11.28515625" style="3" customWidth="1"/>
    <col min="11" max="11" width="78.7109375" style="3" bestFit="1" customWidth="1"/>
    <col min="12" max="16384" width="9.140625" style="3"/>
  </cols>
  <sheetData>
    <row r="1" spans="1:11" x14ac:dyDescent="0.25">
      <c r="A1" s="2" t="s">
        <v>3</v>
      </c>
      <c r="B1" s="2" t="s">
        <v>2</v>
      </c>
      <c r="D1" s="2" t="s">
        <v>2</v>
      </c>
      <c r="E1" s="2" t="s">
        <v>3</v>
      </c>
    </row>
    <row r="2" spans="1:11" x14ac:dyDescent="0.25">
      <c r="A2" s="4">
        <v>266</v>
      </c>
      <c r="B2" s="4" t="s">
        <v>0</v>
      </c>
      <c r="D2" s="4" t="s">
        <v>5</v>
      </c>
      <c r="E2" s="4">
        <f>VLOOKUP(D2,CHOOSE({1,2},B2:B11,A2:A11),2,0)</f>
        <v>353</v>
      </c>
    </row>
    <row r="3" spans="1:11" x14ac:dyDescent="0.25">
      <c r="A3" s="4">
        <v>370</v>
      </c>
      <c r="B3" s="4" t="s">
        <v>1</v>
      </c>
      <c r="I3" s="15" t="s">
        <v>75</v>
      </c>
      <c r="J3" s="3" t="s">
        <v>77</v>
      </c>
    </row>
    <row r="4" spans="1:11" x14ac:dyDescent="0.25">
      <c r="A4" s="4">
        <v>326</v>
      </c>
      <c r="B4" s="4" t="s">
        <v>4</v>
      </c>
      <c r="I4" s="15" t="s">
        <v>76</v>
      </c>
      <c r="J4" s="3" t="s">
        <v>78</v>
      </c>
    </row>
    <row r="5" spans="1:11" x14ac:dyDescent="0.25">
      <c r="A5" s="4">
        <v>353</v>
      </c>
      <c r="B5" s="4" t="s">
        <v>5</v>
      </c>
    </row>
    <row r="6" spans="1:11" x14ac:dyDescent="0.25">
      <c r="A6" s="4">
        <v>399</v>
      </c>
      <c r="B6" s="4" t="s">
        <v>6</v>
      </c>
      <c r="J6" s="16" t="s">
        <v>79</v>
      </c>
      <c r="K6" s="3" t="s">
        <v>80</v>
      </c>
    </row>
    <row r="7" spans="1:11" x14ac:dyDescent="0.25">
      <c r="A7" s="4">
        <v>134</v>
      </c>
      <c r="B7" s="4" t="s">
        <v>7</v>
      </c>
    </row>
    <row r="8" spans="1:11" x14ac:dyDescent="0.25">
      <c r="A8" s="4">
        <v>250</v>
      </c>
      <c r="B8" s="4" t="s">
        <v>8</v>
      </c>
    </row>
    <row r="9" spans="1:11" x14ac:dyDescent="0.25">
      <c r="A9" s="4">
        <v>279</v>
      </c>
      <c r="B9" s="4" t="s">
        <v>9</v>
      </c>
      <c r="H9" s="16" t="s">
        <v>75</v>
      </c>
    </row>
    <row r="10" spans="1:11" x14ac:dyDescent="0.25">
      <c r="A10" s="4">
        <v>107</v>
      </c>
      <c r="B10" s="4" t="s">
        <v>21</v>
      </c>
      <c r="I10" s="3" t="s">
        <v>99</v>
      </c>
    </row>
    <row r="11" spans="1:11" x14ac:dyDescent="0.25">
      <c r="A11" s="4">
        <v>441</v>
      </c>
      <c r="B11" s="4" t="s">
        <v>22</v>
      </c>
      <c r="I11" s="3" t="s">
        <v>100</v>
      </c>
      <c r="K11" s="3" t="s">
        <v>101</v>
      </c>
    </row>
    <row r="12" spans="1:11" x14ac:dyDescent="0.25">
      <c r="I12" s="3" t="s">
        <v>102</v>
      </c>
      <c r="K12" s="3" t="s">
        <v>103</v>
      </c>
    </row>
    <row r="13" spans="1:11" x14ac:dyDescent="0.25">
      <c r="I13" s="3" t="s">
        <v>104</v>
      </c>
      <c r="K13" s="3" t="s">
        <v>105</v>
      </c>
    </row>
    <row r="14" spans="1:11" x14ac:dyDescent="0.25">
      <c r="I14" s="3" t="s">
        <v>106</v>
      </c>
      <c r="K14" s="3" t="s">
        <v>107</v>
      </c>
    </row>
    <row r="15" spans="1:11" x14ac:dyDescent="0.25">
      <c r="A15" s="3" t="s">
        <v>108</v>
      </c>
    </row>
    <row r="16" spans="1:11" x14ac:dyDescent="0.25">
      <c r="A16" s="4" t="s">
        <v>81</v>
      </c>
      <c r="B16" s="4" t="s">
        <v>82</v>
      </c>
      <c r="C16" s="4" t="s">
        <v>83</v>
      </c>
      <c r="D16" s="4" t="s">
        <v>84</v>
      </c>
      <c r="E16" s="4"/>
      <c r="H16" s="4" t="s">
        <v>90</v>
      </c>
      <c r="I16" s="4" t="s">
        <v>91</v>
      </c>
      <c r="J16" s="4" t="s">
        <v>92</v>
      </c>
      <c r="K16" s="4" t="s">
        <v>98</v>
      </c>
    </row>
    <row r="17" spans="1:11" x14ac:dyDescent="0.25">
      <c r="A17" s="4">
        <v>1</v>
      </c>
      <c r="B17" s="4" t="s">
        <v>85</v>
      </c>
      <c r="C17" s="4">
        <v>34</v>
      </c>
      <c r="D17" s="4">
        <v>45</v>
      </c>
      <c r="E17" s="4"/>
      <c r="H17" s="4">
        <v>101</v>
      </c>
      <c r="I17" s="4" t="s">
        <v>93</v>
      </c>
      <c r="J17" s="4" t="s">
        <v>85</v>
      </c>
      <c r="K17" s="4">
        <f>VLOOKUP(J17,$B$16:$D$21,3,FALSE)</f>
        <v>45</v>
      </c>
    </row>
    <row r="18" spans="1:11" x14ac:dyDescent="0.25">
      <c r="A18" s="4">
        <v>2</v>
      </c>
      <c r="B18" s="4" t="s">
        <v>86</v>
      </c>
      <c r="C18" s="4">
        <v>67000</v>
      </c>
      <c r="D18" s="4">
        <v>82000</v>
      </c>
      <c r="E18" s="4"/>
      <c r="H18" s="4">
        <v>201</v>
      </c>
      <c r="I18" s="4" t="s">
        <v>94</v>
      </c>
      <c r="J18" s="4" t="s">
        <v>86</v>
      </c>
      <c r="K18" s="4">
        <f t="shared" ref="K18:K21" si="0">VLOOKUP(J18,$B$16:$D$21,3,FALSE)</f>
        <v>82000</v>
      </c>
    </row>
    <row r="19" spans="1:11" x14ac:dyDescent="0.25">
      <c r="A19" s="4">
        <v>3</v>
      </c>
      <c r="B19" s="4" t="s">
        <v>87</v>
      </c>
      <c r="C19" s="4">
        <v>120000</v>
      </c>
      <c r="D19" s="4">
        <v>169000</v>
      </c>
      <c r="E19" s="4"/>
      <c r="H19" s="4">
        <v>301</v>
      </c>
      <c r="I19" s="4" t="s">
        <v>95</v>
      </c>
      <c r="J19" s="4" t="s">
        <v>85</v>
      </c>
      <c r="K19" s="4">
        <f t="shared" si="0"/>
        <v>45</v>
      </c>
    </row>
    <row r="20" spans="1:11" x14ac:dyDescent="0.25">
      <c r="A20" s="4">
        <v>4</v>
      </c>
      <c r="B20" s="4" t="s">
        <v>88</v>
      </c>
      <c r="C20" s="4">
        <v>34000</v>
      </c>
      <c r="D20" s="4">
        <v>67000</v>
      </c>
      <c r="E20" s="4"/>
      <c r="H20" s="4">
        <v>440</v>
      </c>
      <c r="I20" s="4" t="s">
        <v>96</v>
      </c>
      <c r="J20" s="4" t="s">
        <v>86</v>
      </c>
      <c r="K20" s="4">
        <f t="shared" si="0"/>
        <v>82000</v>
      </c>
    </row>
    <row r="21" spans="1:11" x14ac:dyDescent="0.25">
      <c r="A21" s="4">
        <v>5</v>
      </c>
      <c r="B21" s="4" t="s">
        <v>89</v>
      </c>
      <c r="C21" s="4">
        <v>23000</v>
      </c>
      <c r="D21" s="4">
        <v>34000</v>
      </c>
      <c r="E21" s="4"/>
      <c r="H21" s="4">
        <v>670</v>
      </c>
      <c r="I21" s="4" t="s">
        <v>97</v>
      </c>
      <c r="J21" s="4" t="s">
        <v>89</v>
      </c>
      <c r="K21" s="4">
        <f t="shared" si="0"/>
        <v>34000</v>
      </c>
    </row>
    <row r="24" spans="1:11" x14ac:dyDescent="0.25">
      <c r="B24" s="3" t="s">
        <v>109</v>
      </c>
      <c r="C24" s="3" t="s">
        <v>110</v>
      </c>
      <c r="E24" s="3" t="s">
        <v>112</v>
      </c>
      <c r="G24" s="3" t="s">
        <v>110</v>
      </c>
    </row>
    <row r="25" spans="1:11" x14ac:dyDescent="0.25">
      <c r="B25" s="4" t="s">
        <v>90</v>
      </c>
      <c r="C25" s="4" t="s">
        <v>91</v>
      </c>
      <c r="D25" s="4" t="s">
        <v>92</v>
      </c>
      <c r="E25" s="3" t="s">
        <v>111</v>
      </c>
      <c r="F25" s="3" t="s">
        <v>111</v>
      </c>
    </row>
    <row r="26" spans="1:11" x14ac:dyDescent="0.25">
      <c r="B26" s="4">
        <v>101</v>
      </c>
      <c r="C26" s="4" t="s">
        <v>93</v>
      </c>
      <c r="D26" s="4">
        <v>1</v>
      </c>
      <c r="E26" s="3">
        <f>VLOOKUP(D26,$A$17:$D$21,4,FALSE)</f>
        <v>45</v>
      </c>
      <c r="F26" s="3">
        <f>VLOOKUP(D26,$A$17:$D$21,4,TRUE)</f>
        <v>45</v>
      </c>
    </row>
    <row r="27" spans="1:11" x14ac:dyDescent="0.25">
      <c r="B27" s="4">
        <v>201</v>
      </c>
      <c r="C27" s="4" t="s">
        <v>94</v>
      </c>
      <c r="D27" s="4">
        <v>10</v>
      </c>
      <c r="E27" s="3" t="e">
        <f t="shared" ref="E27:E30" si="1">VLOOKUP(D27,$A$17:$D$21,4,FALSE)</f>
        <v>#N/A</v>
      </c>
      <c r="F27" s="17">
        <f t="shared" ref="F27:F30" si="2">VLOOKUP(D27,$A$17:$D$21,4,TRUE)</f>
        <v>34000</v>
      </c>
    </row>
    <row r="28" spans="1:11" x14ac:dyDescent="0.25">
      <c r="B28" s="4">
        <v>301</v>
      </c>
      <c r="C28" s="4" t="s">
        <v>95</v>
      </c>
      <c r="D28" s="4">
        <v>2</v>
      </c>
      <c r="E28" s="3">
        <f t="shared" si="1"/>
        <v>82000</v>
      </c>
      <c r="F28" s="3">
        <f t="shared" si="2"/>
        <v>82000</v>
      </c>
    </row>
    <row r="29" spans="1:11" x14ac:dyDescent="0.25">
      <c r="B29" s="4">
        <v>440</v>
      </c>
      <c r="C29" s="4" t="s">
        <v>96</v>
      </c>
      <c r="D29" s="4">
        <v>9</v>
      </c>
      <c r="E29" s="3" t="e">
        <f t="shared" si="1"/>
        <v>#N/A</v>
      </c>
      <c r="F29" s="17">
        <f t="shared" si="2"/>
        <v>34000</v>
      </c>
    </row>
    <row r="30" spans="1:11" x14ac:dyDescent="0.25">
      <c r="B30" s="4">
        <v>670</v>
      </c>
      <c r="C30" s="4" t="s">
        <v>97</v>
      </c>
      <c r="D30" s="4">
        <v>3</v>
      </c>
      <c r="E30" s="3">
        <f t="shared" si="1"/>
        <v>169000</v>
      </c>
      <c r="F30" s="3">
        <f t="shared" si="2"/>
        <v>169000</v>
      </c>
    </row>
  </sheetData>
  <dataValidations count="1">
    <dataValidation type="list" allowBlank="1" showInputMessage="1" showErrorMessage="1" sqref="D2" xr:uid="{448CAAE9-7418-4183-95AD-C53775E5E2E6}">
      <formula1>$B$2:$B$11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F02F-C195-41AC-9075-ECCDB1970050}">
  <dimension ref="A1:D6"/>
  <sheetViews>
    <sheetView workbookViewId="0">
      <selection activeCell="I3" sqref="I3"/>
    </sheetView>
  </sheetViews>
  <sheetFormatPr defaultRowHeight="15" x14ac:dyDescent="0.25"/>
  <sheetData>
    <row r="1" spans="1:4" ht="15.75" x14ac:dyDescent="0.25">
      <c r="A1" s="4" t="s">
        <v>90</v>
      </c>
      <c r="B1" s="4" t="s">
        <v>91</v>
      </c>
      <c r="C1" s="4" t="s">
        <v>92</v>
      </c>
      <c r="D1" s="18" t="s">
        <v>111</v>
      </c>
    </row>
    <row r="2" spans="1:4" ht="15.75" x14ac:dyDescent="0.25">
      <c r="A2" s="4">
        <v>101</v>
      </c>
      <c r="B2" s="4" t="s">
        <v>93</v>
      </c>
      <c r="C2" s="4" t="s">
        <v>85</v>
      </c>
      <c r="D2">
        <f>VLOOKUP(C2,'MASTER DATA'!$B$2:$D$6,3,0)</f>
        <v>42</v>
      </c>
    </row>
    <row r="3" spans="1:4" ht="15.75" x14ac:dyDescent="0.25">
      <c r="A3" s="4">
        <v>201</v>
      </c>
      <c r="B3" s="4" t="s">
        <v>94</v>
      </c>
      <c r="C3" s="4" t="s">
        <v>86</v>
      </c>
      <c r="D3">
        <f>VLOOKUP(C3,'MASTER DATA'!$B$2:$D$6,3,0)</f>
        <v>82000</v>
      </c>
    </row>
    <row r="4" spans="1:4" ht="15.75" x14ac:dyDescent="0.25">
      <c r="A4" s="4">
        <v>301</v>
      </c>
      <c r="B4" s="4" t="s">
        <v>95</v>
      </c>
      <c r="C4" s="4" t="s">
        <v>85</v>
      </c>
      <c r="D4">
        <f>VLOOKUP(C4,'MASTER DATA'!$B$2:$D$6,3,0)</f>
        <v>42</v>
      </c>
    </row>
    <row r="5" spans="1:4" ht="15.75" x14ac:dyDescent="0.25">
      <c r="A5" s="4">
        <v>440</v>
      </c>
      <c r="B5" s="4" t="s">
        <v>96</v>
      </c>
      <c r="C5" s="4" t="s">
        <v>86</v>
      </c>
      <c r="D5">
        <f>VLOOKUP(C5,'MASTER DATA'!$B$2:$D$6,3,0)</f>
        <v>82000</v>
      </c>
    </row>
    <row r="6" spans="1:4" ht="15.75" x14ac:dyDescent="0.25">
      <c r="A6" s="4">
        <v>670</v>
      </c>
      <c r="B6" s="4" t="s">
        <v>97</v>
      </c>
      <c r="C6" s="4" t="s">
        <v>89</v>
      </c>
      <c r="D6">
        <f>VLOOKUP(C6,'MASTER DATA'!$B$2:$D$6,3,0)</f>
        <v>34000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F25E-14E1-4B2F-B954-F51E7B8E3DD6}">
  <dimension ref="A1:D6"/>
  <sheetViews>
    <sheetView workbookViewId="0">
      <selection activeCell="D3" sqref="D3"/>
    </sheetView>
  </sheetViews>
  <sheetFormatPr defaultRowHeight="15" x14ac:dyDescent="0.25"/>
  <sheetData>
    <row r="1" spans="1:4" ht="15.75" x14ac:dyDescent="0.25">
      <c r="A1" s="4" t="s">
        <v>81</v>
      </c>
      <c r="B1" s="4" t="s">
        <v>82</v>
      </c>
      <c r="C1" s="4" t="s">
        <v>83</v>
      </c>
      <c r="D1" s="4" t="s">
        <v>84</v>
      </c>
    </row>
    <row r="2" spans="1:4" ht="15.75" x14ac:dyDescent="0.25">
      <c r="A2" s="4">
        <v>1</v>
      </c>
      <c r="B2" s="4" t="s">
        <v>85</v>
      </c>
      <c r="C2" s="4">
        <v>34</v>
      </c>
      <c r="D2" s="4">
        <v>42</v>
      </c>
    </row>
    <row r="3" spans="1:4" ht="15.75" x14ac:dyDescent="0.25">
      <c r="A3" s="4">
        <v>2</v>
      </c>
      <c r="B3" s="4" t="s">
        <v>86</v>
      </c>
      <c r="C3" s="4">
        <v>67000</v>
      </c>
      <c r="D3" s="4">
        <v>82000</v>
      </c>
    </row>
    <row r="4" spans="1:4" ht="15.75" x14ac:dyDescent="0.25">
      <c r="A4" s="4">
        <v>3</v>
      </c>
      <c r="B4" s="4" t="s">
        <v>87</v>
      </c>
      <c r="C4" s="4">
        <v>120000</v>
      </c>
      <c r="D4" s="4">
        <v>169000</v>
      </c>
    </row>
    <row r="5" spans="1:4" ht="15.75" x14ac:dyDescent="0.25">
      <c r="A5" s="4">
        <v>4</v>
      </c>
      <c r="B5" s="4" t="s">
        <v>88</v>
      </c>
      <c r="C5" s="4">
        <v>34000</v>
      </c>
      <c r="D5" s="4">
        <v>67000</v>
      </c>
    </row>
    <row r="6" spans="1:4" ht="15.75" x14ac:dyDescent="0.25">
      <c r="A6" s="4">
        <v>5</v>
      </c>
      <c r="B6" s="4" t="s">
        <v>89</v>
      </c>
      <c r="C6" s="4">
        <v>23000</v>
      </c>
      <c r="D6" s="4">
        <v>34000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66E92-52B8-4693-8396-5F27768826B8}">
  <dimension ref="A1:D9"/>
  <sheetViews>
    <sheetView showGridLines="0" zoomScale="115" zoomScaleNormal="115" workbookViewId="0">
      <selection activeCell="F9" sqref="F9"/>
    </sheetView>
  </sheetViews>
  <sheetFormatPr defaultRowHeight="15.75" x14ac:dyDescent="0.25"/>
  <cols>
    <col min="1" max="1" width="12.28515625" style="3" bestFit="1" customWidth="1"/>
    <col min="2" max="3" width="9.140625" style="3"/>
    <col min="4" max="4" width="13.140625" style="3" customWidth="1"/>
    <col min="5" max="16384" width="9.140625" style="3"/>
  </cols>
  <sheetData>
    <row r="1" spans="1:4" x14ac:dyDescent="0.25">
      <c r="A1" s="2" t="s">
        <v>34</v>
      </c>
      <c r="B1" s="2" t="s">
        <v>33</v>
      </c>
      <c r="C1" s="2" t="s">
        <v>35</v>
      </c>
      <c r="D1" s="2" t="s">
        <v>38</v>
      </c>
    </row>
    <row r="2" spans="1:4" x14ac:dyDescent="0.25">
      <c r="A2" s="6" t="s">
        <v>32</v>
      </c>
      <c r="B2" s="7">
        <v>1.3387978142076502</v>
      </c>
      <c r="C2" s="7" t="s">
        <v>36</v>
      </c>
      <c r="D2" s="8">
        <f>IF(AND(B2&gt;1.5,OR(C2="Sales",C2="Support")),10000,3000)</f>
        <v>3000</v>
      </c>
    </row>
    <row r="3" spans="1:4" x14ac:dyDescent="0.25">
      <c r="A3" s="6" t="s">
        <v>31</v>
      </c>
      <c r="B3" s="7">
        <v>1.0519125683060109</v>
      </c>
      <c r="C3" s="7" t="s">
        <v>3</v>
      </c>
      <c r="D3" s="8">
        <f t="shared" ref="D3:D9" si="0">IF(AND(B3&gt;1.5,OR(C3="Sales",C3="Support")),10000,3000)</f>
        <v>3000</v>
      </c>
    </row>
    <row r="4" spans="1:4" x14ac:dyDescent="0.25">
      <c r="A4" s="6" t="s">
        <v>30</v>
      </c>
      <c r="B4" s="7">
        <v>2.3989071038251368</v>
      </c>
      <c r="C4" s="7" t="s">
        <v>37</v>
      </c>
      <c r="D4" s="9">
        <f t="shared" si="0"/>
        <v>10000</v>
      </c>
    </row>
    <row r="5" spans="1:4" x14ac:dyDescent="0.25">
      <c r="A5" s="6" t="s">
        <v>29</v>
      </c>
      <c r="B5" s="7">
        <v>1.784153005464481</v>
      </c>
      <c r="C5" s="7" t="s">
        <v>36</v>
      </c>
      <c r="D5" s="8">
        <f t="shared" si="0"/>
        <v>3000</v>
      </c>
    </row>
    <row r="6" spans="1:4" x14ac:dyDescent="0.25">
      <c r="A6" s="6" t="s">
        <v>28</v>
      </c>
      <c r="B6" s="7">
        <v>2.0546448087431695</v>
      </c>
      <c r="C6" s="7" t="s">
        <v>3</v>
      </c>
      <c r="D6" s="9">
        <f t="shared" si="0"/>
        <v>10000</v>
      </c>
    </row>
    <row r="7" spans="1:4" x14ac:dyDescent="0.25">
      <c r="A7" s="6" t="s">
        <v>27</v>
      </c>
      <c r="B7" s="7">
        <v>1.8387978142076502</v>
      </c>
      <c r="C7" s="7" t="s">
        <v>37</v>
      </c>
      <c r="D7" s="9">
        <f t="shared" si="0"/>
        <v>10000</v>
      </c>
    </row>
    <row r="8" spans="1:4" x14ac:dyDescent="0.25">
      <c r="A8" s="6" t="s">
        <v>26</v>
      </c>
      <c r="B8" s="7">
        <v>0.86885245901639341</v>
      </c>
      <c r="C8" s="7" t="s">
        <v>36</v>
      </c>
      <c r="D8" s="8">
        <f t="shared" si="0"/>
        <v>3000</v>
      </c>
    </row>
    <row r="9" spans="1:4" x14ac:dyDescent="0.25">
      <c r="A9" s="6" t="s">
        <v>25</v>
      </c>
      <c r="B9" s="7">
        <v>2.7677595628415301</v>
      </c>
      <c r="C9" s="7" t="s">
        <v>3</v>
      </c>
      <c r="D9" s="9">
        <f t="shared" si="0"/>
        <v>10000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803AA-8856-42D1-9EC8-E1EB3EEC5D1D}">
  <dimension ref="A1:G8"/>
  <sheetViews>
    <sheetView showGridLines="0" tabSelected="1" zoomScale="115" zoomScaleNormal="115" workbookViewId="0">
      <selection activeCell="G7" sqref="G7"/>
    </sheetView>
  </sheetViews>
  <sheetFormatPr defaultRowHeight="15.75" x14ac:dyDescent="0.25"/>
  <cols>
    <col min="1" max="1" width="20.85546875" style="3" bestFit="1" customWidth="1"/>
    <col min="2" max="2" width="5" style="3" customWidth="1"/>
    <col min="3" max="3" width="15.28515625" style="3" bestFit="1" customWidth="1"/>
    <col min="4" max="4" width="28.140625" style="3" customWidth="1"/>
    <col min="5" max="16384" width="9.140625" style="3"/>
  </cols>
  <sheetData>
    <row r="1" spans="1:7" x14ac:dyDescent="0.25">
      <c r="A1" s="2" t="s">
        <v>39</v>
      </c>
      <c r="C1" s="2" t="s">
        <v>40</v>
      </c>
      <c r="D1" s="2" t="s">
        <v>41</v>
      </c>
    </row>
    <row r="2" spans="1:7" x14ac:dyDescent="0.25">
      <c r="A2" s="4" t="s">
        <v>42</v>
      </c>
      <c r="C2" s="4" t="s">
        <v>43</v>
      </c>
      <c r="D2" s="4" t="str">
        <f>VLOOKUP("*"&amp;C2&amp;"*",$A$2:$A$8,1,0)</f>
        <v>Infosys Ltd</v>
      </c>
      <c r="F2" s="3" t="s">
        <v>113</v>
      </c>
      <c r="G2" s="3" t="s">
        <v>114</v>
      </c>
    </row>
    <row r="3" spans="1:7" x14ac:dyDescent="0.25">
      <c r="A3" s="4" t="s">
        <v>44</v>
      </c>
      <c r="C3" s="4" t="s">
        <v>45</v>
      </c>
      <c r="D3" s="4" t="str">
        <f t="shared" ref="D3:D7" si="0">VLOOKUP("*"&amp;C3&amp;"*",$A$2:$A$8,1,0)</f>
        <v>IBM Ltd</v>
      </c>
    </row>
    <row r="4" spans="1:7" x14ac:dyDescent="0.25">
      <c r="A4" s="4" t="s">
        <v>46</v>
      </c>
      <c r="C4" s="4" t="s">
        <v>47</v>
      </c>
      <c r="D4" s="4" t="str">
        <f t="shared" si="0"/>
        <v>ICICI Ltd</v>
      </c>
    </row>
    <row r="5" spans="1:7" x14ac:dyDescent="0.25">
      <c r="A5" s="4" t="s">
        <v>48</v>
      </c>
      <c r="C5" s="4" t="s">
        <v>49</v>
      </c>
      <c r="D5" s="4" t="str">
        <f t="shared" si="0"/>
        <v>Wipro Ltd</v>
      </c>
    </row>
    <row r="6" spans="1:7" x14ac:dyDescent="0.25">
      <c r="A6" s="4" t="s">
        <v>50</v>
      </c>
      <c r="C6" s="4" t="s">
        <v>51</v>
      </c>
      <c r="D6" s="4" t="e">
        <f t="shared" si="0"/>
        <v>#N/A</v>
      </c>
    </row>
    <row r="7" spans="1:7" x14ac:dyDescent="0.25">
      <c r="A7" s="4" t="s">
        <v>52</v>
      </c>
      <c r="C7" s="4" t="s">
        <v>53</v>
      </c>
      <c r="D7" s="4" t="str">
        <f t="shared" si="0"/>
        <v>House Keeping Store</v>
      </c>
    </row>
    <row r="8" spans="1:7" x14ac:dyDescent="0.25">
      <c r="A8" s="4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GoalSeek</vt:lpstr>
      <vt:lpstr>CHOOSE Function</vt:lpstr>
      <vt:lpstr>VLOOKUP With CHOOSE  SAME SHEET</vt:lpstr>
      <vt:lpstr>VLOOKUP CROSS SHEET</vt:lpstr>
      <vt:lpstr>MASTER DATA</vt:lpstr>
      <vt:lpstr>IF with AND &amp; OR</vt:lpstr>
      <vt:lpstr>Wildcard Characters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 Met (TR - Duzce)</dc:creator>
  <cp:lastModifiedBy>Vimlesh Kumar</cp:lastModifiedBy>
  <dcterms:created xsi:type="dcterms:W3CDTF">2013-09-05T07:09:07Z</dcterms:created>
  <dcterms:modified xsi:type="dcterms:W3CDTF">2020-08-31T08:46:19Z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cf5222f6-4c6c-4557-878f-cec3724f488b</vt:lpwstr>
  </property>
</Properties>
</file>